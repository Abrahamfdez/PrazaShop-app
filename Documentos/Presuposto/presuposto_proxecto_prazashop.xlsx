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brah\Desktop\TFG-ABRAHAM\Documents\Presuposto\"/>
    </mc:Choice>
  </mc:AlternateContent>
  <xr:revisionPtr revIDLastSave="0" documentId="13_ncr:1_{7F8B08F2-1C59-4D0F-9267-88053221A3A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Hardware" sheetId="1" r:id="rId1"/>
    <sheet name="Software" sheetId="2" r:id="rId2"/>
    <sheet name="Man_de_obra" sheetId="3" r:id="rId3"/>
    <sheet name="Resum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3" l="1"/>
  <c r="B4" i="4" s="1"/>
  <c r="B6" i="3"/>
  <c r="D5" i="3"/>
  <c r="D4" i="3"/>
  <c r="D3" i="3"/>
  <c r="D2" i="3"/>
  <c r="C6" i="2"/>
  <c r="B3" i="4" s="1"/>
  <c r="D4" i="1"/>
  <c r="B2" i="4" s="1"/>
  <c r="D3" i="1"/>
  <c r="D2" i="1"/>
  <c r="B5" i="4" l="1"/>
</calcChain>
</file>

<file path=xl/sharedStrings.xml><?xml version="1.0" encoding="utf-8"?>
<sst xmlns="http://schemas.openxmlformats.org/spreadsheetml/2006/main" count="35" uniqueCount="29">
  <si>
    <t>Elemento</t>
  </si>
  <si>
    <t>Cantidade</t>
  </si>
  <si>
    <t>Prezo unitario (€)</t>
  </si>
  <si>
    <t>Total (€)</t>
  </si>
  <si>
    <t>Ordenador desenvolvemento</t>
  </si>
  <si>
    <t>Smartphone probas</t>
  </si>
  <si>
    <t>TOTAL HARDWARE</t>
  </si>
  <si>
    <t>Software</t>
  </si>
  <si>
    <t>Licenza</t>
  </si>
  <si>
    <t>Prezo (€)</t>
  </si>
  <si>
    <t>Flutter</t>
  </si>
  <si>
    <t>Gratuito</t>
  </si>
  <si>
    <t>Java / Spring Boot</t>
  </si>
  <si>
    <t>MySQL</t>
  </si>
  <si>
    <t>GitHub</t>
  </si>
  <si>
    <t>TOTAL SOFTWARE</t>
  </si>
  <si>
    <t>Fase</t>
  </si>
  <si>
    <t>Horas</t>
  </si>
  <si>
    <t>Prezo/hora (€)</t>
  </si>
  <si>
    <t>Análise</t>
  </si>
  <si>
    <t>Deseño</t>
  </si>
  <si>
    <t>Desenvolvemento</t>
  </si>
  <si>
    <t>Probas</t>
  </si>
  <si>
    <t>TOTAL MAN DE OBRA</t>
  </si>
  <si>
    <t>Concepto</t>
  </si>
  <si>
    <t>Hardware</t>
  </si>
  <si>
    <t>Man de obra</t>
  </si>
  <si>
    <t>TOTAL PROXECTO</t>
  </si>
  <si>
    <t>TOTAL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</si>
</sst>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3" sqref="D3"/>
    </sheetView>
  </sheetViews>
  <sheetFormatPr baseColWidth="10" defaultColWidth="9.140625" defaultRowHeight="15" x14ac:dyDescent="0.25"/>
  <cols>
    <col min="1" max="1" width="28" customWidth="1"/>
    <col min="2" max="2" width="12" customWidth="1"/>
    <col min="3" max="3" width="18" customWidth="1"/>
    <col min="4" max="4" width="1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</v>
      </c>
      <c r="C2" s="2">
        <v>900</v>
      </c>
      <c r="D2" s="2">
        <f>B2*C2</f>
        <v>900</v>
      </c>
    </row>
    <row r="3" spans="1:4" x14ac:dyDescent="0.25">
      <c r="A3" s="2" t="s">
        <v>5</v>
      </c>
      <c r="B3" s="2">
        <v>1</v>
      </c>
      <c r="C3" s="2">
        <v>300</v>
      </c>
      <c r="D3" s="2">
        <f>B3*C3</f>
        <v>300</v>
      </c>
    </row>
    <row r="4" spans="1:4" x14ac:dyDescent="0.25">
      <c r="A4" s="3"/>
      <c r="B4" s="3"/>
      <c r="C4" s="3" t="s">
        <v>6</v>
      </c>
      <c r="D4" s="3">
        <f>SUM(D2:D3)</f>
        <v>1200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2" sqref="C2"/>
    </sheetView>
  </sheetViews>
  <sheetFormatPr baseColWidth="10" defaultColWidth="9.140625" defaultRowHeight="15" x14ac:dyDescent="0.25"/>
  <cols>
    <col min="1" max="1" width="28" customWidth="1"/>
    <col min="2" max="2" width="20" customWidth="1"/>
    <col min="3" max="3" width="15" customWidth="1"/>
  </cols>
  <sheetData>
    <row r="1" spans="1:3" x14ac:dyDescent="0.25">
      <c r="A1" s="4" t="s">
        <v>7</v>
      </c>
      <c r="B1" s="4" t="s">
        <v>8</v>
      </c>
      <c r="C1" s="4" t="s">
        <v>9</v>
      </c>
    </row>
    <row r="2" spans="1:3" x14ac:dyDescent="0.25">
      <c r="A2" s="5" t="s">
        <v>10</v>
      </c>
      <c r="B2" s="5" t="s">
        <v>11</v>
      </c>
      <c r="C2" s="5">
        <v>0</v>
      </c>
    </row>
    <row r="3" spans="1:3" x14ac:dyDescent="0.25">
      <c r="A3" s="5" t="s">
        <v>12</v>
      </c>
      <c r="B3" s="5" t="s">
        <v>11</v>
      </c>
      <c r="C3" s="5">
        <v>0</v>
      </c>
    </row>
    <row r="4" spans="1:3" x14ac:dyDescent="0.25">
      <c r="A4" s="5" t="s">
        <v>13</v>
      </c>
      <c r="B4" s="5" t="s">
        <v>11</v>
      </c>
      <c r="C4" s="5">
        <v>0</v>
      </c>
    </row>
    <row r="5" spans="1:3" x14ac:dyDescent="0.25">
      <c r="A5" s="5" t="s">
        <v>14</v>
      </c>
      <c r="B5" s="5" t="s">
        <v>11</v>
      </c>
      <c r="C5" s="5">
        <v>0</v>
      </c>
    </row>
    <row r="6" spans="1:3" x14ac:dyDescent="0.25">
      <c r="A6" s="3"/>
      <c r="B6" s="3" t="s">
        <v>15</v>
      </c>
      <c r="C6" s="3">
        <f>SUM(C2:C5)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C5" sqref="C5"/>
    </sheetView>
  </sheetViews>
  <sheetFormatPr baseColWidth="10" defaultColWidth="9.140625" defaultRowHeight="15" x14ac:dyDescent="0.25"/>
  <cols>
    <col min="1" max="1" width="28" customWidth="1"/>
    <col min="2" max="2" width="12" customWidth="1"/>
    <col min="3" max="3" width="26.28515625" customWidth="1"/>
    <col min="4" max="4" width="15" customWidth="1"/>
  </cols>
  <sheetData>
    <row r="1" spans="1:4" x14ac:dyDescent="0.25">
      <c r="A1" s="4" t="s">
        <v>16</v>
      </c>
      <c r="B1" s="4" t="s">
        <v>17</v>
      </c>
      <c r="C1" s="4" t="s">
        <v>18</v>
      </c>
      <c r="D1" s="4" t="s">
        <v>3</v>
      </c>
    </row>
    <row r="2" spans="1:4" x14ac:dyDescent="0.25">
      <c r="A2" s="5" t="s">
        <v>19</v>
      </c>
      <c r="B2" s="5">
        <v>20</v>
      </c>
      <c r="C2" s="5">
        <v>20</v>
      </c>
      <c r="D2" s="5">
        <f>B2*C2</f>
        <v>400</v>
      </c>
    </row>
    <row r="3" spans="1:4" x14ac:dyDescent="0.25">
      <c r="A3" s="5" t="s">
        <v>20</v>
      </c>
      <c r="B3" s="5">
        <v>20</v>
      </c>
      <c r="C3" s="5">
        <v>20</v>
      </c>
      <c r="D3" s="5">
        <f>B3*C3</f>
        <v>400</v>
      </c>
    </row>
    <row r="4" spans="1:4" x14ac:dyDescent="0.25">
      <c r="A4" s="5" t="s">
        <v>21</v>
      </c>
      <c r="B4" s="5">
        <v>80</v>
      </c>
      <c r="C4" s="5">
        <v>20</v>
      </c>
      <c r="D4" s="5">
        <f>B4*C4</f>
        <v>1600</v>
      </c>
    </row>
    <row r="5" spans="1:4" x14ac:dyDescent="0.25">
      <c r="A5" s="5" t="s">
        <v>22</v>
      </c>
      <c r="B5" s="5">
        <v>20</v>
      </c>
      <c r="C5" s="5">
        <v>20</v>
      </c>
      <c r="D5" s="5">
        <f>B5*C5</f>
        <v>400</v>
      </c>
    </row>
    <row r="6" spans="1:4" x14ac:dyDescent="0.25">
      <c r="A6" s="6" t="s">
        <v>28</v>
      </c>
      <c r="B6" s="6">
        <f>B2+B3+B4+B5</f>
        <v>140</v>
      </c>
      <c r="C6" s="6" t="s">
        <v>23</v>
      </c>
      <c r="D6" s="6">
        <f>B6*C2</f>
        <v>2800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tabSelected="1" workbookViewId="0">
      <selection activeCell="G17" sqref="G17"/>
    </sheetView>
  </sheetViews>
  <sheetFormatPr baseColWidth="10" defaultColWidth="9.140625" defaultRowHeight="15" x14ac:dyDescent="0.25"/>
  <cols>
    <col min="1" max="1" width="25" customWidth="1"/>
    <col min="2" max="2" width="18" customWidth="1"/>
  </cols>
  <sheetData>
    <row r="1" spans="1:2" x14ac:dyDescent="0.25">
      <c r="A1" s="4" t="s">
        <v>24</v>
      </c>
      <c r="B1" s="4" t="s">
        <v>3</v>
      </c>
    </row>
    <row r="2" spans="1:2" x14ac:dyDescent="0.25">
      <c r="A2" s="5" t="s">
        <v>25</v>
      </c>
      <c r="B2" s="5">
        <f>Hardware!D4</f>
        <v>1200</v>
      </c>
    </row>
    <row r="3" spans="1:2" x14ac:dyDescent="0.25">
      <c r="A3" s="5" t="s">
        <v>7</v>
      </c>
      <c r="B3" s="5">
        <f>Software!C6</f>
        <v>0</v>
      </c>
    </row>
    <row r="4" spans="1:2" x14ac:dyDescent="0.25">
      <c r="A4" s="5" t="s">
        <v>26</v>
      </c>
      <c r="B4" s="5">
        <f>Man_de_obra!D6</f>
        <v>2800</v>
      </c>
    </row>
    <row r="5" spans="1:2" x14ac:dyDescent="0.25">
      <c r="A5" s="6" t="s">
        <v>27</v>
      </c>
      <c r="B5" s="6">
        <f>SUM(B2:B4)</f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Hardware</vt:lpstr>
      <vt:lpstr>Software</vt:lpstr>
      <vt:lpstr>Man_de_obra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Abraham Fernández Bande</cp:lastModifiedBy>
  <dcterms:created xsi:type="dcterms:W3CDTF">2026-03-16T19:48:36Z</dcterms:created>
  <dcterms:modified xsi:type="dcterms:W3CDTF">2026-03-16T19:53:09Z</dcterms:modified>
</cp:coreProperties>
</file>